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PC\Documents\Risk Register Project\"/>
    </mc:Choice>
  </mc:AlternateContent>
  <xr:revisionPtr revIDLastSave="0" documentId="8_{A18A9CB5-0987-47A7-AEF5-D90A4B68E956}" xr6:coauthVersionLast="47" xr6:coauthVersionMax="47" xr10:uidLastSave="{00000000-0000-0000-0000-000000000000}"/>
  <bookViews>
    <workbookView xWindow="-120" yWindow="-120" windowWidth="29040" windowHeight="15720" activeTab="1" xr2:uid="{7C02535B-E878-499A-A1DE-F93F6F89E719}"/>
  </bookViews>
  <sheets>
    <sheet name="Asset Register" sheetId="2" r:id="rId1"/>
    <sheet name="Risk Register" sheetId="1" r:id="rId2"/>
    <sheet name="Heatmap" sheetId="4" r:id="rId3"/>
    <sheet name="Scoring Legen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H5" i="1"/>
  <c r="H6" i="1"/>
  <c r="H7" i="1"/>
  <c r="H8" i="1"/>
  <c r="H9" i="1"/>
  <c r="H10" i="1"/>
  <c r="H11" i="1"/>
  <c r="H12" i="1"/>
  <c r="H13" i="1"/>
  <c r="H4" i="1"/>
</calcChain>
</file>

<file path=xl/sharedStrings.xml><?xml version="1.0" encoding="utf-8"?>
<sst xmlns="http://schemas.openxmlformats.org/spreadsheetml/2006/main" count="196" uniqueCount="146">
  <si>
    <t>Asset ID</t>
  </si>
  <si>
    <t>Asset Name</t>
  </si>
  <si>
    <t>Description</t>
  </si>
  <si>
    <t>Category</t>
  </si>
  <si>
    <t>AS-01</t>
  </si>
  <si>
    <t>Patient DB</t>
  </si>
  <si>
    <t>PostgreSQL DB containing patient records.</t>
  </si>
  <si>
    <t>Data</t>
  </si>
  <si>
    <t>AS-02</t>
  </si>
  <si>
    <t>AWS Console</t>
  </si>
  <si>
    <t>Admin access to cloud infrastructure</t>
  </si>
  <si>
    <t>Software/Access</t>
  </si>
  <si>
    <t>AS-03</t>
  </si>
  <si>
    <t>Employee Laptops</t>
  </si>
  <si>
    <t>10 Macbook Pros used by the staff</t>
  </si>
  <si>
    <t>Hardware</t>
  </si>
  <si>
    <t>AS-04</t>
  </si>
  <si>
    <t>Video API</t>
  </si>
  <si>
    <t>The service handling live doctor calls</t>
  </si>
  <si>
    <t>Software</t>
  </si>
  <si>
    <t>AS-05</t>
  </si>
  <si>
    <t>Github Repo</t>
  </si>
  <si>
    <t>Source code for the SecurePulse app</t>
  </si>
  <si>
    <t>Data/IP</t>
  </si>
  <si>
    <t>Risk ID</t>
  </si>
  <si>
    <t>Primary Asset</t>
  </si>
  <si>
    <t>Threat</t>
  </si>
  <si>
    <t>Vulnerability</t>
  </si>
  <si>
    <t>Risk Description</t>
  </si>
  <si>
    <t>R-01</t>
  </si>
  <si>
    <t>Ransomware</t>
  </si>
  <si>
    <t>Lack of offline backup</t>
  </si>
  <si>
    <t>R-02</t>
  </si>
  <si>
    <t>Credential Theft</t>
  </si>
  <si>
    <t>No MFA on Admin accounts</t>
  </si>
  <si>
    <t>R-03</t>
  </si>
  <si>
    <t>Phishing</t>
  </si>
  <si>
    <t>Poor security awareness</t>
  </si>
  <si>
    <t>R-04</t>
  </si>
  <si>
    <t>SQL Injection</t>
  </si>
  <si>
    <t>Unsanitized input field</t>
  </si>
  <si>
    <t>R-05</t>
  </si>
  <si>
    <t>Misconfiguration</t>
  </si>
  <si>
    <t>Publicly accessible S3 bucket</t>
  </si>
  <si>
    <t>R-06</t>
  </si>
  <si>
    <t>R-07</t>
  </si>
  <si>
    <t>R-08</t>
  </si>
  <si>
    <t>Physical Theft</t>
  </si>
  <si>
    <t>No Full Disk Encryption</t>
  </si>
  <si>
    <t>Insider Threat</t>
  </si>
  <si>
    <t>Excessive permission</t>
  </si>
  <si>
    <t>DDoS Attack</t>
  </si>
  <si>
    <t>No rate limiting</t>
  </si>
  <si>
    <t>R-09</t>
  </si>
  <si>
    <t>R-10</t>
  </si>
  <si>
    <t>Data Breach</t>
  </si>
  <si>
    <t>Use of "Default" passwords</t>
  </si>
  <si>
    <t>Supply Chain Attack</t>
  </si>
  <si>
    <t>Unpatched software</t>
  </si>
  <si>
    <t>Attacker encrypts the database and demands payment; no way to restore data.</t>
  </si>
  <si>
    <t>A hacker steals admin credentials via phishing and gains full cloud control.</t>
  </si>
  <si>
    <t>Staff click malicious links, leading to malware infections on company devices.</t>
  </si>
  <si>
    <t>Attacker injects code into the API to pull sensitive records from the database.</t>
  </si>
  <si>
    <t>Sensitive patient files are accidentally exposed to the public internet.</t>
  </si>
  <si>
    <t>A stolen laptop allows an unauthorized person to read patient data stored locally.</t>
  </si>
  <si>
    <t>An unhappy employee deletes source code or leaks it to a competitor.</t>
  </si>
  <si>
    <t>A flood of traffic crashes the video service, preventing doctors from seeing patients.</t>
  </si>
  <si>
    <t>Attacker uses brute-force to guess a standard password on a backend service.</t>
  </si>
  <si>
    <t>A vulnerability in a 3rd-party app (like Zoom or Slack) is used to pivot into the laptop.</t>
  </si>
  <si>
    <t xml:space="preserve">Score </t>
  </si>
  <si>
    <t>Rating</t>
  </si>
  <si>
    <t>Definition</t>
  </si>
  <si>
    <t>Rare</t>
  </si>
  <si>
    <t>May occur only in exceptional circumstances</t>
  </si>
  <si>
    <t>Unlikely</t>
  </si>
  <si>
    <t>Possible</t>
  </si>
  <si>
    <t>Could occur at some time (e.g., once every 5 years)</t>
  </si>
  <si>
    <t>Might occur at some time (e.g., once a year)</t>
  </si>
  <si>
    <t>Likely</t>
  </si>
  <si>
    <t>Will probably occur in most circumstances (e.g., monthly)</t>
  </si>
  <si>
    <t>Almost Certain</t>
  </si>
  <si>
    <t>Expected to occur in most circumstances (e.g., weekly)</t>
  </si>
  <si>
    <t>Impact (How bad is it if it happens?)</t>
  </si>
  <si>
    <t>Score</t>
  </si>
  <si>
    <t>Insignificant</t>
  </si>
  <si>
    <t>Minor</t>
  </si>
  <si>
    <t>Moderate</t>
  </si>
  <si>
    <t>Major</t>
  </si>
  <si>
    <t>Catastrophic</t>
  </si>
  <si>
    <t>No data loss; no financial impact</t>
  </si>
  <si>
    <t>Short downtime; small internal incovenience</t>
  </si>
  <si>
    <t>Brief service outage; minor data leak (non-sensitive)</t>
  </si>
  <si>
    <t>Significant PHI data leak; heavy fines; service down for a day</t>
  </si>
  <si>
    <t>Permanent data loss; business closure; HIPAA lincense revoked</t>
  </si>
  <si>
    <t>Likelihood (L)</t>
  </si>
  <si>
    <t>Impact (I)</t>
  </si>
  <si>
    <t>Inherent Risk Score</t>
  </si>
  <si>
    <t>Inherent Risk = Likelihood x Impact</t>
  </si>
  <si>
    <t>Treatment Strategy</t>
  </si>
  <si>
    <t>Proposed Control</t>
  </si>
  <si>
    <t>Owner</t>
  </si>
  <si>
    <t>Residual Risk Score (L x I)</t>
  </si>
  <si>
    <t>Mitigate</t>
  </si>
  <si>
    <t>Transfer</t>
  </si>
  <si>
    <t>Avoid</t>
  </si>
  <si>
    <t>Accept</t>
  </si>
  <si>
    <t>Implement a control</t>
  </si>
  <si>
    <t>Give the risk to someone else</t>
  </si>
  <si>
    <t>Stop the activity</t>
  </si>
  <si>
    <t>Acknowledge the risk and do nothing</t>
  </si>
  <si>
    <t>Implement air-gapped, immutable daily backup</t>
  </si>
  <si>
    <t>Enfore phishing-resistant MFA (hardware token)</t>
  </si>
  <si>
    <t>Quarterly Security Awareness Training &amp; phishing sims.</t>
  </si>
  <si>
    <t>Deploy a Web Application Firewall (WAF) &amp; code reviews.</t>
  </si>
  <si>
    <t>Enable AWS Config "Auto-Remediate" for public buckets.</t>
  </si>
  <si>
    <t>Enforce Full Disk Encryption (FileVault/BitLocker) via MDM.</t>
  </si>
  <si>
    <t>Implement "Least Privilege" access &amp; quarterly audit.</t>
  </si>
  <si>
    <t>Use Cloudflare/AWS Shield for DDoS protection.</t>
  </si>
  <si>
    <t>Centralized IAM with strict password complexity policies.</t>
  </si>
  <si>
    <t>Automated Patch Management system for all endpoints.</t>
  </si>
  <si>
    <t>IT Lead</t>
  </si>
  <si>
    <t>CTO</t>
  </si>
  <si>
    <t>HR/Sec</t>
  </si>
  <si>
    <t>Lead Dev</t>
  </si>
  <si>
    <t>DevOps</t>
  </si>
  <si>
    <t>Residual Likelihood (L)</t>
  </si>
  <si>
    <t>Residual Impact (I)</t>
  </si>
  <si>
    <t>SecurePulse Risk Register</t>
  </si>
  <si>
    <t xml:space="preserve">   </t>
  </si>
  <si>
    <t xml:space="preserve">                Impact
Probability </t>
  </si>
  <si>
    <t>Very Low</t>
  </si>
  <si>
    <t>Medium</t>
  </si>
  <si>
    <t>High</t>
  </si>
  <si>
    <t>Very High</t>
  </si>
  <si>
    <t>Low</t>
  </si>
  <si>
    <t>Possibilities (How often will it happen?)</t>
  </si>
  <si>
    <t>1 (Very Low)</t>
  </si>
  <si>
    <t xml:space="preserve">2 (Low) </t>
  </si>
  <si>
    <t>3(Medium)</t>
  </si>
  <si>
    <t>4(High)</t>
  </si>
  <si>
    <t>5(Very High)</t>
  </si>
  <si>
    <t>5 (Almost Certain)</t>
  </si>
  <si>
    <t>4 (Likely)</t>
  </si>
  <si>
    <t>3 (Possible)</t>
  </si>
  <si>
    <t>2 (Unlikely)</t>
  </si>
  <si>
    <t>1 (Rare)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</si>
</sst>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b/>
      <sz val="18"/>
      <color theme="1" tint="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F4F3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 diagonalDown="1"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 style="thin">
        <color auto="1"/>
      </diagonal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/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/>
    </xf>
    <xf numFmtId="0" fontId="0" fillId="0" borderId="6" xfId="0" applyBorder="1"/>
    <xf numFmtId="0" fontId="4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4">
    <dxf>
      <fill>
        <patternFill>
          <bgColor rgb="FFFF6D6D"/>
        </patternFill>
      </fill>
    </dxf>
    <dxf>
      <fill>
        <patternFill>
          <bgColor rgb="FFFCF6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numFmt numFmtId="0" formatCode="General"/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colors>
    <mruColors>
      <color rgb="FFFCF600"/>
      <color rgb="FFFF6D6D"/>
      <color rgb="FFD1F4F3"/>
      <color rgb="FFA9EBE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998D33-7BFB-4DDD-B121-988AC82E46FD}" name="Table1" displayName="Table1" ref="A2:D7" totalsRowShown="0">
  <autoFilter ref="A2:D7" xr:uid="{21998D33-7BFB-4DDD-B121-988AC82E46FD}"/>
  <tableColumns count="4">
    <tableColumn id="1" xr3:uid="{5B6F3D0C-5CD5-4442-88C9-1663CA4C53A0}" name="Asset ID"/>
    <tableColumn id="2" xr3:uid="{D275ABDA-F551-4399-96B2-DD931C911D09}" name="Asset Name"/>
    <tableColumn id="3" xr3:uid="{5555A509-68CF-46CA-8997-8E2FA9C2968C}" name="Description"/>
    <tableColumn id="4" xr3:uid="{09F4023F-756D-49A2-B40C-257448BF0818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2026BE-530B-4DF2-A37D-99A74CE9872F}" name="Table2" displayName="Table2" ref="A3:N13" totalsRowShown="0" dataDxfId="23">
  <autoFilter ref="A3:N13" xr:uid="{B32026BE-530B-4DF2-A37D-99A74CE9872F}"/>
  <tableColumns count="14">
    <tableColumn id="1" xr3:uid="{64B6720F-729F-4E89-BC15-573122FFB634}" name="Risk ID" dataDxfId="22"/>
    <tableColumn id="2" xr3:uid="{813F41DC-8691-4D9E-B655-D3AA417962F1}" name="Primary Asset" dataDxfId="21"/>
    <tableColumn id="3" xr3:uid="{A834F5BD-0C4F-4DD6-97B5-0503D9E96F5D}" name="Threat" dataDxfId="20"/>
    <tableColumn id="4" xr3:uid="{2BEBBE2B-9C16-426F-ADF3-93E6EE631DF1}" name="Vulnerability" dataDxfId="19"/>
    <tableColumn id="5" xr3:uid="{A0AACAE7-6B45-471D-B61F-980DCC500D12}" name="Risk Description" dataDxfId="18"/>
    <tableColumn id="6" xr3:uid="{A2062D1F-56D3-4A75-A7D8-8423A5F9814F}" name="Likelihood (L)" dataDxfId="17"/>
    <tableColumn id="7" xr3:uid="{386849BD-331D-48DC-8C58-695AA9CA0753}" name="Impact (I)" dataDxfId="16"/>
    <tableColumn id="8" xr3:uid="{62987C2A-9771-4A0A-B614-0209C7F1CDAB}" name="Inherent Risk Score" dataDxfId="15">
      <calculatedColumnFormula>Table2[[#This Row],[Likelihood (L)]]*Table2[[#This Row],[Impact (I)]]</calculatedColumnFormula>
    </tableColumn>
    <tableColumn id="9" xr3:uid="{CCAA5478-70B4-4395-AB58-C4AC706DFDEB}" name="Treatment Strategy" dataDxfId="14"/>
    <tableColumn id="10" xr3:uid="{F7859C45-AD7F-4D11-9874-1BDA3E5F0251}" name="Proposed Control" dataDxfId="13"/>
    <tableColumn id="11" xr3:uid="{1C7783D4-F9BD-4EBA-8467-599D9264E48F}" name="Owner" dataDxfId="12"/>
    <tableColumn id="12" xr3:uid="{D4AAF869-11EE-472A-8185-7E7AD2282930}" name="Residual Likelihood (L)" dataDxfId="11"/>
    <tableColumn id="13" xr3:uid="{8CE9E693-D1F7-4DDD-B6D0-DDFDC37EFD47}" name="Residual Impact (I)" dataDxfId="10"/>
    <tableColumn id="14" xr3:uid="{AA2CF407-A282-4C60-B94B-F4FABB8B34C6}" name="Residual Risk Score (L x I)" dataDxfId="9">
      <calculatedColumnFormula>Table2[[#This Row],[Residual Likelihood (L)]]*Table2[[#This Row],[Residual Impact (I)]]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32084A-3A41-425E-A8E0-136117B351DA}" name="Table49" displayName="Table49" ref="A17:C22" totalsRowShown="0">
  <autoFilter ref="A17:C22" xr:uid="{6932084A-3A41-425E-A8E0-136117B351DA}"/>
  <tableColumns count="3">
    <tableColumn id="1" xr3:uid="{B295F5A3-1228-4A14-8BBC-A2F8A6D1B558}" name="Score "/>
    <tableColumn id="2" xr3:uid="{CF11C9CE-566F-4FB3-8A1E-73CA08CEF525}" name="Rating"/>
    <tableColumn id="3" xr3:uid="{27AA2D8A-B42A-41CA-BE75-7F31A0774BAE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FC09F5-C423-4015-AAD0-BE3C7F20FA1A}" name="Table510" displayName="Table510" ref="A26:C31" totalsRowShown="0">
  <autoFilter ref="A26:C31" xr:uid="{36FC09F5-C423-4015-AAD0-BE3C7F20FA1A}"/>
  <tableColumns count="3">
    <tableColumn id="1" xr3:uid="{C84D16D5-D268-4FEC-92AD-8E2405225024}" name="Score"/>
    <tableColumn id="2" xr3:uid="{FBF03555-C667-4AC1-B43B-5881E307786B}" name="Rating"/>
    <tableColumn id="3" xr3:uid="{E9A5B60C-E2E2-4170-AEE8-BAA24CDACB84}" name="Defin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6192E3-A39B-4457-93F7-E80DC5D05602}" name="Table4" displayName="Table4" ref="A3:C8" totalsRowShown="0">
  <autoFilter ref="A3:C8" xr:uid="{D46192E3-A39B-4457-93F7-E80DC5D05602}"/>
  <tableColumns count="3">
    <tableColumn id="1" xr3:uid="{1FD56C81-71ED-4463-A021-92769D28BA3E}" name="Score "/>
    <tableColumn id="2" xr3:uid="{BABB53AD-56EF-47FA-B223-B26A4B9029BD}" name="Rating"/>
    <tableColumn id="3" xr3:uid="{3146A57C-A025-4E64-A81E-D14A8D6B36E1}" name="Defini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FA1830-00DD-4B92-B82D-273283412DB2}" name="Table5" displayName="Table5" ref="A12:C17" totalsRowShown="0">
  <autoFilter ref="A12:C17" xr:uid="{41FA1830-00DD-4B92-B82D-273283412DB2}"/>
  <tableColumns count="3">
    <tableColumn id="1" xr3:uid="{E2785F7F-458A-4614-9D29-D1E246CC78BF}" name="Score"/>
    <tableColumn id="2" xr3:uid="{50E34141-F1D0-432A-9E53-60FB70601D43}" name="Rating"/>
    <tableColumn id="3" xr3:uid="{C5522CB0-6B69-4722-910A-43359F927797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8BD2-7EBA-4B58-8C7D-5C868CB3843B}">
  <dimension ref="A2:D7"/>
  <sheetViews>
    <sheetView workbookViewId="0">
      <selection activeCell="C13" sqref="C13"/>
    </sheetView>
  </sheetViews>
  <sheetFormatPr defaultRowHeight="15" x14ac:dyDescent="0.25"/>
  <cols>
    <col min="1" max="1" width="10.5703125" customWidth="1"/>
    <col min="2" max="2" width="17" bestFit="1" customWidth="1"/>
    <col min="3" max="3" width="38.85546875" bestFit="1" customWidth="1"/>
    <col min="4" max="4" width="15.5703125" bestFit="1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9189-AC0B-4853-A957-6E64272294A8}">
  <dimension ref="A1:N31"/>
  <sheetViews>
    <sheetView tabSelected="1" zoomScale="115" zoomScaleNormal="115" workbookViewId="0">
      <selection activeCell="E21" sqref="E21"/>
    </sheetView>
  </sheetViews>
  <sheetFormatPr defaultRowHeight="15" x14ac:dyDescent="0.25"/>
  <cols>
    <col min="1" max="1" width="13.5703125" customWidth="1"/>
    <col min="2" max="2" width="17" bestFit="1" customWidth="1"/>
    <col min="3" max="3" width="18.28515625" customWidth="1"/>
    <col min="4" max="4" width="25.7109375" bestFit="1" customWidth="1"/>
    <col min="5" max="5" width="44.85546875" customWidth="1"/>
    <col min="6" max="6" width="15.7109375" bestFit="1" customWidth="1"/>
    <col min="7" max="7" width="17.85546875" customWidth="1"/>
    <col min="8" max="8" width="21.140625" bestFit="1" customWidth="1"/>
    <col min="9" max="9" width="20.7109375" bestFit="1" customWidth="1"/>
    <col min="10" max="10" width="23.28515625" customWidth="1"/>
    <col min="12" max="12" width="24.28515625" bestFit="1" customWidth="1"/>
    <col min="13" max="13" width="20.42578125" bestFit="1" customWidth="1"/>
    <col min="14" max="14" width="26.7109375" bestFit="1" customWidth="1"/>
  </cols>
  <sheetData>
    <row r="1" spans="1:14" ht="24" x14ac:dyDescent="0.4">
      <c r="A1" s="12" t="s">
        <v>127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94</v>
      </c>
      <c r="G3" t="s">
        <v>95</v>
      </c>
      <c r="H3" t="s">
        <v>96</v>
      </c>
      <c r="I3" t="s">
        <v>98</v>
      </c>
      <c r="J3" t="s">
        <v>99</v>
      </c>
      <c r="K3" t="s">
        <v>100</v>
      </c>
      <c r="L3" t="s">
        <v>125</v>
      </c>
      <c r="M3" t="s">
        <v>126</v>
      </c>
      <c r="N3" t="s">
        <v>101</v>
      </c>
    </row>
    <row r="4" spans="1:14" ht="30" x14ac:dyDescent="0.25">
      <c r="A4" s="1" t="s">
        <v>29</v>
      </c>
      <c r="B4" s="1" t="s">
        <v>5</v>
      </c>
      <c r="C4" s="1" t="s">
        <v>30</v>
      </c>
      <c r="D4" s="1" t="s">
        <v>31</v>
      </c>
      <c r="E4" s="2" t="s">
        <v>59</v>
      </c>
      <c r="F4" s="2">
        <v>3</v>
      </c>
      <c r="G4" s="2">
        <v>5</v>
      </c>
      <c r="H4" s="2">
        <f>Table2[[#This Row],[Likelihood (L)]]*Table2[[#This Row],[Impact (I)]]</f>
        <v>15</v>
      </c>
      <c r="I4" s="1" t="s">
        <v>102</v>
      </c>
      <c r="J4" s="2" t="s">
        <v>110</v>
      </c>
      <c r="K4" s="1" t="s">
        <v>120</v>
      </c>
      <c r="L4" s="1">
        <v>2</v>
      </c>
      <c r="M4" s="1">
        <v>2</v>
      </c>
      <c r="N4" s="1">
        <f>Table2[[#This Row],[Residual Likelihood (L)]]*Table2[[#This Row],[Residual Impact (I)]]</f>
        <v>4</v>
      </c>
    </row>
    <row r="5" spans="1:14" ht="45" x14ac:dyDescent="0.25">
      <c r="A5" s="1" t="s">
        <v>32</v>
      </c>
      <c r="B5" s="1" t="s">
        <v>9</v>
      </c>
      <c r="C5" s="1" t="s">
        <v>33</v>
      </c>
      <c r="D5" s="1" t="s">
        <v>34</v>
      </c>
      <c r="E5" s="2" t="s">
        <v>60</v>
      </c>
      <c r="F5" s="2">
        <v>4</v>
      </c>
      <c r="G5" s="2">
        <v>5</v>
      </c>
      <c r="H5" s="2">
        <f>Table2[[#This Row],[Likelihood (L)]]*Table2[[#This Row],[Impact (I)]]</f>
        <v>20</v>
      </c>
      <c r="I5" s="1" t="s">
        <v>102</v>
      </c>
      <c r="J5" s="2" t="s">
        <v>111</v>
      </c>
      <c r="K5" s="1" t="s">
        <v>121</v>
      </c>
      <c r="L5" s="1">
        <v>1</v>
      </c>
      <c r="M5" s="1">
        <v>5</v>
      </c>
      <c r="N5" s="1">
        <f>Table2[[#This Row],[Residual Likelihood (L)]]*Table2[[#This Row],[Residual Impact (I)]]</f>
        <v>5</v>
      </c>
    </row>
    <row r="6" spans="1:14" ht="45" x14ac:dyDescent="0.25">
      <c r="A6" s="1" t="s">
        <v>35</v>
      </c>
      <c r="B6" s="1" t="s">
        <v>13</v>
      </c>
      <c r="C6" s="1" t="s">
        <v>36</v>
      </c>
      <c r="D6" s="1" t="s">
        <v>37</v>
      </c>
      <c r="E6" s="2" t="s">
        <v>61</v>
      </c>
      <c r="F6" s="2">
        <v>5</v>
      </c>
      <c r="G6" s="2">
        <v>4</v>
      </c>
      <c r="H6" s="2">
        <f>Table2[[#This Row],[Likelihood (L)]]*Table2[[#This Row],[Impact (I)]]</f>
        <v>20</v>
      </c>
      <c r="I6" s="1" t="s">
        <v>102</v>
      </c>
      <c r="J6" s="2" t="s">
        <v>112</v>
      </c>
      <c r="K6" s="1" t="s">
        <v>122</v>
      </c>
      <c r="L6" s="1">
        <v>3</v>
      </c>
      <c r="M6" s="1">
        <v>3</v>
      </c>
      <c r="N6" s="1">
        <f>Table2[[#This Row],[Residual Likelihood (L)]]*Table2[[#This Row],[Residual Impact (I)]]</f>
        <v>9</v>
      </c>
    </row>
    <row r="7" spans="1:14" ht="45" x14ac:dyDescent="0.25">
      <c r="A7" s="1" t="s">
        <v>38</v>
      </c>
      <c r="B7" s="1" t="s">
        <v>17</v>
      </c>
      <c r="C7" s="1" t="s">
        <v>39</v>
      </c>
      <c r="D7" s="1" t="s">
        <v>40</v>
      </c>
      <c r="E7" s="2" t="s">
        <v>62</v>
      </c>
      <c r="F7" s="2">
        <v>3</v>
      </c>
      <c r="G7" s="2">
        <v>4</v>
      </c>
      <c r="H7" s="2">
        <f>Table2[[#This Row],[Likelihood (L)]]*Table2[[#This Row],[Impact (I)]]</f>
        <v>12</v>
      </c>
      <c r="I7" s="1" t="s">
        <v>102</v>
      </c>
      <c r="J7" s="2" t="s">
        <v>113</v>
      </c>
      <c r="K7" s="1" t="s">
        <v>123</v>
      </c>
      <c r="L7" s="1">
        <v>1</v>
      </c>
      <c r="M7" s="1">
        <v>4</v>
      </c>
      <c r="N7" s="1">
        <f>Table2[[#This Row],[Residual Likelihood (L)]]*Table2[[#This Row],[Residual Impact (I)]]</f>
        <v>4</v>
      </c>
    </row>
    <row r="8" spans="1:14" ht="45" x14ac:dyDescent="0.25">
      <c r="A8" s="1" t="s">
        <v>41</v>
      </c>
      <c r="B8" s="1" t="s">
        <v>9</v>
      </c>
      <c r="C8" s="1" t="s">
        <v>42</v>
      </c>
      <c r="D8" s="1" t="s">
        <v>43</v>
      </c>
      <c r="E8" s="2" t="s">
        <v>63</v>
      </c>
      <c r="F8" s="2">
        <v>3</v>
      </c>
      <c r="G8" s="2">
        <v>5</v>
      </c>
      <c r="H8" s="2">
        <f>Table2[[#This Row],[Likelihood (L)]]*Table2[[#This Row],[Impact (I)]]</f>
        <v>15</v>
      </c>
      <c r="I8" s="1" t="s">
        <v>102</v>
      </c>
      <c r="J8" s="2" t="s">
        <v>114</v>
      </c>
      <c r="K8" s="1" t="s">
        <v>124</v>
      </c>
      <c r="L8" s="1">
        <v>1</v>
      </c>
      <c r="M8" s="1">
        <v>5</v>
      </c>
      <c r="N8" s="1">
        <f>Table2[[#This Row],[Residual Likelihood (L)]]*Table2[[#This Row],[Residual Impact (I)]]</f>
        <v>5</v>
      </c>
    </row>
    <row r="9" spans="1:14" ht="60" x14ac:dyDescent="0.25">
      <c r="A9" s="1" t="s">
        <v>44</v>
      </c>
      <c r="B9" s="1" t="s">
        <v>13</v>
      </c>
      <c r="C9" s="1" t="s">
        <v>47</v>
      </c>
      <c r="D9" s="1" t="s">
        <v>48</v>
      </c>
      <c r="E9" s="2" t="s">
        <v>64</v>
      </c>
      <c r="F9" s="2">
        <v>2</v>
      </c>
      <c r="G9" s="2">
        <v>4</v>
      </c>
      <c r="H9" s="2">
        <f>Table2[[#This Row],[Likelihood (L)]]*Table2[[#This Row],[Impact (I)]]</f>
        <v>8</v>
      </c>
      <c r="I9" s="1" t="s">
        <v>102</v>
      </c>
      <c r="J9" s="2" t="s">
        <v>115</v>
      </c>
      <c r="K9" s="1" t="s">
        <v>120</v>
      </c>
      <c r="L9" s="1">
        <v>2</v>
      </c>
      <c r="M9" s="1">
        <v>1</v>
      </c>
      <c r="N9" s="1">
        <f>Table2[[#This Row],[Residual Likelihood (L)]]*Table2[[#This Row],[Residual Impact (I)]]</f>
        <v>2</v>
      </c>
    </row>
    <row r="10" spans="1:14" ht="45" x14ac:dyDescent="0.25">
      <c r="A10" s="1" t="s">
        <v>45</v>
      </c>
      <c r="B10" s="1" t="s">
        <v>21</v>
      </c>
      <c r="C10" s="1" t="s">
        <v>49</v>
      </c>
      <c r="D10" s="1" t="s">
        <v>50</v>
      </c>
      <c r="E10" s="2" t="s">
        <v>65</v>
      </c>
      <c r="F10" s="2">
        <v>2</v>
      </c>
      <c r="G10" s="2">
        <v>3</v>
      </c>
      <c r="H10" s="2">
        <f>Table2[[#This Row],[Likelihood (L)]]*Table2[[#This Row],[Impact (I)]]</f>
        <v>6</v>
      </c>
      <c r="I10" s="1" t="s">
        <v>102</v>
      </c>
      <c r="J10" s="2" t="s">
        <v>116</v>
      </c>
      <c r="K10" s="1" t="s">
        <v>121</v>
      </c>
      <c r="L10" s="1">
        <v>1</v>
      </c>
      <c r="M10" s="1">
        <v>3</v>
      </c>
      <c r="N10" s="1">
        <f>Table2[[#This Row],[Residual Likelihood (L)]]*Table2[[#This Row],[Residual Impact (I)]]</f>
        <v>3</v>
      </c>
    </row>
    <row r="11" spans="1:14" ht="45" x14ac:dyDescent="0.25">
      <c r="A11" s="1" t="s">
        <v>46</v>
      </c>
      <c r="B11" s="1" t="s">
        <v>17</v>
      </c>
      <c r="C11" s="1" t="s">
        <v>51</v>
      </c>
      <c r="D11" s="1" t="s">
        <v>52</v>
      </c>
      <c r="E11" s="2" t="s">
        <v>66</v>
      </c>
      <c r="F11" s="2">
        <v>3</v>
      </c>
      <c r="G11" s="2">
        <v>3</v>
      </c>
      <c r="H11" s="2">
        <f>Table2[[#This Row],[Likelihood (L)]]*Table2[[#This Row],[Impact (I)]]</f>
        <v>9</v>
      </c>
      <c r="I11" s="1" t="s">
        <v>102</v>
      </c>
      <c r="J11" s="2" t="s">
        <v>117</v>
      </c>
      <c r="K11" s="1" t="s">
        <v>124</v>
      </c>
      <c r="L11" s="1">
        <v>1</v>
      </c>
      <c r="M11" s="1">
        <v>2</v>
      </c>
      <c r="N11" s="1">
        <f>Table2[[#This Row],[Residual Likelihood (L)]]*Table2[[#This Row],[Residual Impact (I)]]</f>
        <v>2</v>
      </c>
    </row>
    <row r="12" spans="1:14" ht="45" x14ac:dyDescent="0.25">
      <c r="A12" s="1" t="s">
        <v>53</v>
      </c>
      <c r="B12" s="1" t="s">
        <v>5</v>
      </c>
      <c r="C12" s="1" t="s">
        <v>55</v>
      </c>
      <c r="D12" s="1" t="s">
        <v>56</v>
      </c>
      <c r="E12" s="2" t="s">
        <v>67</v>
      </c>
      <c r="F12" s="2">
        <v>4</v>
      </c>
      <c r="G12" s="2">
        <v>4</v>
      </c>
      <c r="H12" s="2">
        <f>Table2[[#This Row],[Likelihood (L)]]*Table2[[#This Row],[Impact (I)]]</f>
        <v>16</v>
      </c>
      <c r="I12" s="1" t="s">
        <v>102</v>
      </c>
      <c r="J12" s="2" t="s">
        <v>118</v>
      </c>
      <c r="K12" s="1" t="s">
        <v>120</v>
      </c>
      <c r="L12" s="1">
        <v>1</v>
      </c>
      <c r="M12" s="1">
        <v>4</v>
      </c>
      <c r="N12" s="1">
        <f>Table2[[#This Row],[Residual Likelihood (L)]]*Table2[[#This Row],[Residual Impact (I)]]</f>
        <v>4</v>
      </c>
    </row>
    <row r="13" spans="1:14" ht="45" x14ac:dyDescent="0.25">
      <c r="A13" s="1" t="s">
        <v>54</v>
      </c>
      <c r="B13" s="1" t="s">
        <v>13</v>
      </c>
      <c r="C13" s="1" t="s">
        <v>57</v>
      </c>
      <c r="D13" s="1" t="s">
        <v>58</v>
      </c>
      <c r="E13" s="2" t="s">
        <v>68</v>
      </c>
      <c r="F13" s="2">
        <v>4</v>
      </c>
      <c r="G13" s="2">
        <v>3</v>
      </c>
      <c r="H13" s="2">
        <f>Table2[[#This Row],[Likelihood (L)]]*Table2[[#This Row],[Impact (I)]]</f>
        <v>12</v>
      </c>
      <c r="I13" s="1" t="s">
        <v>102</v>
      </c>
      <c r="J13" s="2" t="s">
        <v>119</v>
      </c>
      <c r="K13" s="1" t="s">
        <v>120</v>
      </c>
      <c r="L13" s="1">
        <v>2</v>
      </c>
      <c r="M13" s="1">
        <v>2</v>
      </c>
      <c r="N13" s="1">
        <f>Table2[[#This Row],[Residual Likelihood (L)]]*Table2[[#This Row],[Residual Impact (I)]]</f>
        <v>4</v>
      </c>
    </row>
    <row r="16" spans="1:14" x14ac:dyDescent="0.25">
      <c r="A16" s="13" t="s">
        <v>135</v>
      </c>
      <c r="B16" s="14"/>
      <c r="C16" s="14"/>
    </row>
    <row r="17" spans="1:8" x14ac:dyDescent="0.25">
      <c r="A17" t="s">
        <v>69</v>
      </c>
      <c r="B17" t="s">
        <v>70</v>
      </c>
      <c r="C17" t="s">
        <v>71</v>
      </c>
      <c r="H17" t="s">
        <v>128</v>
      </c>
    </row>
    <row r="18" spans="1:8" x14ac:dyDescent="0.25">
      <c r="A18">
        <v>1</v>
      </c>
      <c r="B18" t="s">
        <v>72</v>
      </c>
      <c r="C18" t="s">
        <v>73</v>
      </c>
    </row>
    <row r="19" spans="1:8" x14ac:dyDescent="0.25">
      <c r="A19">
        <v>2</v>
      </c>
      <c r="B19" t="s">
        <v>74</v>
      </c>
      <c r="C19" t="s">
        <v>76</v>
      </c>
    </row>
    <row r="20" spans="1:8" x14ac:dyDescent="0.25">
      <c r="A20">
        <v>3</v>
      </c>
      <c r="B20" t="s">
        <v>75</v>
      </c>
      <c r="C20" t="s">
        <v>77</v>
      </c>
    </row>
    <row r="21" spans="1:8" x14ac:dyDescent="0.25">
      <c r="A21">
        <v>4</v>
      </c>
      <c r="B21" t="s">
        <v>78</v>
      </c>
      <c r="C21" t="s">
        <v>79</v>
      </c>
    </row>
    <row r="22" spans="1:8" x14ac:dyDescent="0.25">
      <c r="A22">
        <v>5</v>
      </c>
      <c r="B22" t="s">
        <v>80</v>
      </c>
      <c r="C22" t="s">
        <v>81</v>
      </c>
    </row>
    <row r="25" spans="1:8" x14ac:dyDescent="0.25">
      <c r="A25" s="13" t="s">
        <v>82</v>
      </c>
      <c r="B25" s="13"/>
      <c r="C25" s="13"/>
    </row>
    <row r="26" spans="1:8" x14ac:dyDescent="0.25">
      <c r="A26" t="s">
        <v>83</v>
      </c>
      <c r="B26" t="s">
        <v>70</v>
      </c>
      <c r="C26" t="s">
        <v>71</v>
      </c>
    </row>
    <row r="27" spans="1:8" x14ac:dyDescent="0.25">
      <c r="A27">
        <v>1</v>
      </c>
      <c r="B27" t="s">
        <v>84</v>
      </c>
      <c r="C27" t="s">
        <v>89</v>
      </c>
    </row>
    <row r="28" spans="1:8" x14ac:dyDescent="0.25">
      <c r="A28">
        <v>2</v>
      </c>
      <c r="B28" t="s">
        <v>85</v>
      </c>
      <c r="C28" t="s">
        <v>90</v>
      </c>
    </row>
    <row r="29" spans="1:8" x14ac:dyDescent="0.25">
      <c r="A29">
        <v>3</v>
      </c>
      <c r="B29" t="s">
        <v>86</v>
      </c>
      <c r="C29" t="s">
        <v>91</v>
      </c>
    </row>
    <row r="30" spans="1:8" x14ac:dyDescent="0.25">
      <c r="A30">
        <v>4</v>
      </c>
      <c r="B30" t="s">
        <v>87</v>
      </c>
      <c r="C30" t="s">
        <v>92</v>
      </c>
    </row>
    <row r="31" spans="1:8" x14ac:dyDescent="0.25">
      <c r="A31">
        <v>5</v>
      </c>
      <c r="B31" t="s">
        <v>88</v>
      </c>
      <c r="C31" t="s">
        <v>93</v>
      </c>
    </row>
  </sheetData>
  <mergeCells count="3">
    <mergeCell ref="A1:N1"/>
    <mergeCell ref="A16:C16"/>
    <mergeCell ref="A25:C25"/>
  </mergeCells>
  <phoneticPr fontId="1" type="noConversion"/>
  <conditionalFormatting sqref="H4:H13">
    <cfRule type="cellIs" dxfId="8" priority="4" operator="between">
      <formula>1</formula>
      <formula>8</formula>
    </cfRule>
    <cfRule type="cellIs" dxfId="7" priority="5" operator="between">
      <formula>9</formula>
      <formula>15</formula>
    </cfRule>
    <cfRule type="cellIs" dxfId="6" priority="6" operator="between">
      <formula>16</formula>
      <formula>25</formula>
    </cfRule>
  </conditionalFormatting>
  <conditionalFormatting sqref="N4:N13">
    <cfRule type="cellIs" dxfId="5" priority="1" operator="between">
      <formula>1</formula>
      <formula>7</formula>
    </cfRule>
    <cfRule type="cellIs" dxfId="4" priority="2" operator="between">
      <formula>9</formula>
      <formula>15</formula>
    </cfRule>
    <cfRule type="cellIs" dxfId="3" priority="3" operator="between">
      <formula>16</formula>
      <formula>25</formula>
    </cfRule>
  </conditionalFormatting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E4E966-C426-4E63-A78F-530AEFBC1FFA}">
          <x14:formula1>
            <xm:f>'Scoring Legend'!$A$23:$A$26</xm:f>
          </x14:formula1>
          <xm:sqref>I4:I13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A1DC-0DEE-4AE8-BBD6-3D30CAB65154}">
  <dimension ref="B2:G8"/>
  <sheetViews>
    <sheetView showGridLines="0" zoomScale="85" zoomScaleNormal="85" workbookViewId="0">
      <selection activeCell="F11" sqref="F11"/>
    </sheetView>
  </sheetViews>
  <sheetFormatPr defaultRowHeight="15" x14ac:dyDescent="0.25"/>
  <cols>
    <col min="2" max="2" width="16.85546875" bestFit="1" customWidth="1"/>
    <col min="3" max="3" width="12.5703125" customWidth="1"/>
    <col min="4" max="4" width="10.85546875" customWidth="1"/>
    <col min="5" max="5" width="11.42578125" customWidth="1"/>
    <col min="6" max="6" width="11" customWidth="1"/>
    <col min="7" max="7" width="11.5703125" bestFit="1" customWidth="1"/>
  </cols>
  <sheetData>
    <row r="2" spans="2:7" ht="15.75" thickBot="1" x14ac:dyDescent="0.3"/>
    <row r="3" spans="2:7" ht="30" x14ac:dyDescent="0.25">
      <c r="B3" s="4" t="s">
        <v>129</v>
      </c>
      <c r="C3" s="5" t="s">
        <v>136</v>
      </c>
      <c r="D3" s="5" t="s">
        <v>137</v>
      </c>
      <c r="E3" s="5" t="s">
        <v>138</v>
      </c>
      <c r="F3" s="5" t="s">
        <v>139</v>
      </c>
      <c r="G3" s="6" t="s">
        <v>140</v>
      </c>
    </row>
    <row r="4" spans="2:7" ht="28.5" customHeight="1" x14ac:dyDescent="0.25">
      <c r="B4" s="7" t="s">
        <v>141</v>
      </c>
      <c r="C4" s="3">
        <v>5</v>
      </c>
      <c r="D4" s="3">
        <v>10</v>
      </c>
      <c r="E4" s="3">
        <v>15</v>
      </c>
      <c r="F4" s="3">
        <v>20</v>
      </c>
      <c r="G4" s="8">
        <v>25</v>
      </c>
    </row>
    <row r="5" spans="2:7" ht="30" customHeight="1" x14ac:dyDescent="0.25">
      <c r="B5" s="7" t="s">
        <v>142</v>
      </c>
      <c r="C5" s="3">
        <v>4</v>
      </c>
      <c r="D5" s="3">
        <v>8</v>
      </c>
      <c r="E5" s="3">
        <v>12</v>
      </c>
      <c r="F5" s="3">
        <v>16</v>
      </c>
      <c r="G5" s="8">
        <v>20</v>
      </c>
    </row>
    <row r="6" spans="2:7" ht="30.75" customHeight="1" x14ac:dyDescent="0.25">
      <c r="B6" s="7" t="s">
        <v>143</v>
      </c>
      <c r="C6" s="3">
        <v>3</v>
      </c>
      <c r="D6" s="3">
        <v>6</v>
      </c>
      <c r="E6" s="3">
        <v>9</v>
      </c>
      <c r="F6" s="3">
        <v>12</v>
      </c>
      <c r="G6" s="8">
        <v>15</v>
      </c>
    </row>
    <row r="7" spans="2:7" ht="27.75" customHeight="1" x14ac:dyDescent="0.25">
      <c r="B7" s="7" t="s">
        <v>144</v>
      </c>
      <c r="C7" s="3">
        <v>2</v>
      </c>
      <c r="D7" s="3">
        <v>4</v>
      </c>
      <c r="E7" s="3">
        <v>6</v>
      </c>
      <c r="F7" s="3">
        <v>8</v>
      </c>
      <c r="G7" s="8">
        <v>10</v>
      </c>
    </row>
    <row r="8" spans="2:7" ht="30.75" customHeight="1" thickBot="1" x14ac:dyDescent="0.3">
      <c r="B8" s="9" t="s">
        <v>145</v>
      </c>
      <c r="C8" s="10">
        <v>1</v>
      </c>
      <c r="D8" s="10">
        <v>2</v>
      </c>
      <c r="E8" s="10">
        <v>3</v>
      </c>
      <c r="F8" s="10">
        <v>4</v>
      </c>
      <c r="G8" s="11">
        <v>5</v>
      </c>
    </row>
  </sheetData>
  <conditionalFormatting sqref="C4:G8">
    <cfRule type="cellIs" dxfId="2" priority="1" operator="lessThanOrEqual">
      <formula>8</formula>
    </cfRule>
    <cfRule type="cellIs" dxfId="1" priority="2" operator="between">
      <formula>9</formula>
      <formula>15</formula>
    </cfRule>
    <cfRule type="cellIs" dxfId="0" priority="3" operator="greaterThanOrEqual">
      <formula>16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AD85-D064-467A-8E6B-521022D4762C}">
  <dimension ref="A2:C26"/>
  <sheetViews>
    <sheetView workbookViewId="0">
      <selection activeCell="C17" sqref="C17"/>
    </sheetView>
  </sheetViews>
  <sheetFormatPr defaultRowHeight="15" x14ac:dyDescent="0.25"/>
  <cols>
    <col min="1" max="1" width="11.28515625" customWidth="1"/>
    <col min="2" max="2" width="14" customWidth="1"/>
    <col min="3" max="3" width="58.140625" bestFit="1" customWidth="1"/>
  </cols>
  <sheetData>
    <row r="2" spans="1:3" x14ac:dyDescent="0.25">
      <c r="A2" s="13" t="s">
        <v>135</v>
      </c>
      <c r="B2" s="14"/>
      <c r="C2" s="14"/>
    </row>
    <row r="3" spans="1:3" x14ac:dyDescent="0.25">
      <c r="A3" t="s">
        <v>69</v>
      </c>
      <c r="B3" t="s">
        <v>70</v>
      </c>
      <c r="C3" t="s">
        <v>71</v>
      </c>
    </row>
    <row r="4" spans="1:3" x14ac:dyDescent="0.25">
      <c r="A4">
        <v>1</v>
      </c>
      <c r="B4" t="s">
        <v>78</v>
      </c>
      <c r="C4" t="s">
        <v>73</v>
      </c>
    </row>
    <row r="5" spans="1:3" x14ac:dyDescent="0.25">
      <c r="A5">
        <v>2</v>
      </c>
      <c r="B5" t="s">
        <v>74</v>
      </c>
      <c r="C5" t="s">
        <v>76</v>
      </c>
    </row>
    <row r="6" spans="1:3" x14ac:dyDescent="0.25">
      <c r="A6">
        <v>3</v>
      </c>
      <c r="B6" t="s">
        <v>75</v>
      </c>
      <c r="C6" t="s">
        <v>77</v>
      </c>
    </row>
    <row r="7" spans="1:3" x14ac:dyDescent="0.25">
      <c r="A7">
        <v>4</v>
      </c>
      <c r="B7" t="s">
        <v>78</v>
      </c>
      <c r="C7" t="s">
        <v>79</v>
      </c>
    </row>
    <row r="8" spans="1:3" x14ac:dyDescent="0.25">
      <c r="A8">
        <v>5</v>
      </c>
      <c r="B8" t="s">
        <v>80</v>
      </c>
      <c r="C8" t="s">
        <v>81</v>
      </c>
    </row>
    <row r="11" spans="1:3" x14ac:dyDescent="0.25">
      <c r="A11" s="13" t="s">
        <v>82</v>
      </c>
      <c r="B11" s="13"/>
      <c r="C11" s="13"/>
    </row>
    <row r="12" spans="1:3" x14ac:dyDescent="0.25">
      <c r="A12" t="s">
        <v>83</v>
      </c>
      <c r="B12" t="s">
        <v>70</v>
      </c>
      <c r="C12" t="s">
        <v>71</v>
      </c>
    </row>
    <row r="13" spans="1:3" x14ac:dyDescent="0.25">
      <c r="A13">
        <v>1</v>
      </c>
      <c r="B13" t="s">
        <v>130</v>
      </c>
      <c r="C13" t="s">
        <v>89</v>
      </c>
    </row>
    <row r="14" spans="1:3" x14ac:dyDescent="0.25">
      <c r="A14">
        <v>2</v>
      </c>
      <c r="B14" t="s">
        <v>134</v>
      </c>
      <c r="C14" t="s">
        <v>90</v>
      </c>
    </row>
    <row r="15" spans="1:3" x14ac:dyDescent="0.25">
      <c r="A15">
        <v>3</v>
      </c>
      <c r="B15" t="s">
        <v>131</v>
      </c>
      <c r="C15" t="s">
        <v>91</v>
      </c>
    </row>
    <row r="16" spans="1:3" x14ac:dyDescent="0.25">
      <c r="A16">
        <v>4</v>
      </c>
      <c r="B16" t="s">
        <v>132</v>
      </c>
      <c r="C16" t="s">
        <v>92</v>
      </c>
    </row>
    <row r="17" spans="1:3" x14ac:dyDescent="0.25">
      <c r="A17">
        <v>5</v>
      </c>
      <c r="B17" t="s">
        <v>133</v>
      </c>
      <c r="C17" t="s">
        <v>93</v>
      </c>
    </row>
    <row r="20" spans="1:3" x14ac:dyDescent="0.25">
      <c r="A20" t="s">
        <v>97</v>
      </c>
    </row>
    <row r="23" spans="1:3" x14ac:dyDescent="0.25">
      <c r="A23" t="s">
        <v>102</v>
      </c>
      <c r="B23" t="s">
        <v>106</v>
      </c>
    </row>
    <row r="24" spans="1:3" x14ac:dyDescent="0.25">
      <c r="A24" t="s">
        <v>103</v>
      </c>
      <c r="B24" t="s">
        <v>107</v>
      </c>
    </row>
    <row r="25" spans="1:3" x14ac:dyDescent="0.25">
      <c r="A25" t="s">
        <v>104</v>
      </c>
      <c r="B25" t="s">
        <v>108</v>
      </c>
    </row>
    <row r="26" spans="1:3" x14ac:dyDescent="0.25">
      <c r="A26" t="s">
        <v>105</v>
      </c>
      <c r="B26" t="s">
        <v>109</v>
      </c>
    </row>
  </sheetData>
  <mergeCells count="2">
    <mergeCell ref="A2:C2"/>
    <mergeCell ref="A11:C1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 Register</vt:lpstr>
      <vt:lpstr>Risk Register</vt:lpstr>
      <vt:lpstr>Heatmap</vt:lpstr>
      <vt:lpstr>Scoring 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SOFIAN BIN SHAHARUDIN</dc:creator>
  <cp:lastModifiedBy>AHMAD SOFIAN BIN SHAHARUDIN</cp:lastModifiedBy>
  <dcterms:created xsi:type="dcterms:W3CDTF">2026-05-04T03:36:09Z</dcterms:created>
  <dcterms:modified xsi:type="dcterms:W3CDTF">2026-05-11T02:01:35Z</dcterms:modified>
</cp:coreProperties>
</file>